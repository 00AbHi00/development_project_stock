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SIT\Abhi Semester 7\project\Data\"/>
    </mc:Choice>
  </mc:AlternateContent>
  <xr:revisionPtr revIDLastSave="0" documentId="13_ncr:1_{9DE8B426-CF8B-4CBF-A2D9-8544DB89B522}" xr6:coauthVersionLast="47" xr6:coauthVersionMax="47" xr10:uidLastSave="{00000000-0000-0000-0000-000000000000}"/>
  <bookViews>
    <workbookView xWindow="-108" yWindow="-108" windowWidth="23256" windowHeight="12456" activeTab="1" xr2:uid="{E502FB2D-3953-4E25-9580-473F47BB71F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D22" i="1"/>
  <c r="D23" i="1"/>
  <c r="D24" i="1"/>
  <c r="D25" i="1"/>
  <c r="D26" i="1"/>
  <c r="D27" i="1"/>
  <c r="D28" i="1"/>
  <c r="D29" i="1"/>
  <c r="D30" i="1"/>
  <c r="D31" i="1"/>
  <c r="D20" i="1"/>
  <c r="C20" i="1"/>
  <c r="C21" i="1"/>
  <c r="C22" i="1"/>
  <c r="C23" i="1"/>
  <c r="C24" i="1"/>
  <c r="C25" i="1"/>
  <c r="C27" i="1"/>
  <c r="C28" i="1"/>
  <c r="C29" i="1"/>
  <c r="C30" i="1"/>
  <c r="C31" i="1"/>
  <c r="B20" i="1" a="1"/>
  <c r="B20" i="1" s="1"/>
  <c r="F15" i="1"/>
  <c r="E17" i="1"/>
  <c r="F17" i="1" s="1"/>
  <c r="C26" i="1" s="1"/>
  <c r="F16" i="1"/>
  <c r="F14" i="1"/>
  <c r="F3" i="1"/>
  <c r="F4" i="1"/>
  <c r="F5" i="1"/>
  <c r="F6" i="1"/>
  <c r="F7" i="1"/>
  <c r="F8" i="1"/>
  <c r="F9" i="1"/>
  <c r="F10" i="1"/>
  <c r="F11" i="1"/>
  <c r="F12" i="1"/>
  <c r="F13" i="1"/>
  <c r="F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<sst xmlns="http://schemas.openxmlformats.org/spreadsheetml/2006/main" count="60" uniqueCount="35">
  <si>
    <t>SN</t>
  </si>
  <si>
    <t>Name</t>
  </si>
  <si>
    <t>Party</t>
  </si>
  <si>
    <t>Assumed office</t>
  </si>
  <si>
    <t>Left office</t>
  </si>
  <si>
    <t>Communist Party of Nepal (Maoist Centre)</t>
  </si>
  <si>
    <t>Communist Party of Nepal (Unified Marxist–Leninist)</t>
  </si>
  <si>
    <t>Bharat Mohan Adhikari</t>
  </si>
  <si>
    <t>Shanker Prasad Koirala</t>
  </si>
  <si>
    <t>independent</t>
  </si>
  <si>
    <t>Nepali Congress</t>
  </si>
  <si>
    <t>Bishnu Prasad Paudel</t>
  </si>
  <si>
    <t>Communist Party of Nepal (NCP)</t>
  </si>
  <si>
    <t>CPN UML</t>
  </si>
  <si>
    <t>Janardan Sharma</t>
  </si>
  <si>
    <t>CPN (Maoist)</t>
  </si>
  <si>
    <t>Baburam Bhattarai</t>
  </si>
  <si>
    <t>Barsaman Pun</t>
  </si>
  <si>
    <t>Surendra Pandey</t>
  </si>
  <si>
    <t>Ram Saran Mahat</t>
  </si>
  <si>
    <t>Krishna Bahadur Mahara</t>
  </si>
  <si>
    <t>Gyanendra Bahadur Karki</t>
  </si>
  <si>
    <t>Yuba Raj Khatiwada</t>
  </si>
  <si>
    <t>Duration</t>
  </si>
  <si>
    <t>Dr. Prakash Sharan Mahat</t>
  </si>
  <si>
    <t>Person</t>
  </si>
  <si>
    <t>Reference for Background</t>
  </si>
  <si>
    <t>View on NEPSE (Positive/ Negative)</t>
  </si>
  <si>
    <t xml:space="preserve">Policies Made </t>
  </si>
  <si>
    <t xml:space="preserve">Acedamic Background </t>
  </si>
  <si>
    <t>Reference for Policy made</t>
  </si>
  <si>
    <t>Total Duration (in days)</t>
  </si>
  <si>
    <t>(2013-&gt; yo policy)
(2015)-&gt; yo policy</t>
  </si>
  <si>
    <t>Times</t>
  </si>
  <si>
    <t>no need 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</si>
</sst>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2" borderId="2" xfId="1" applyFont="1" applyFill="1" applyBorder="1" applyAlignment="1">
      <alignment vertical="center" wrapText="1"/>
    </xf>
    <xf numFmtId="15" fontId="2" fillId="2" borderId="2" xfId="0" applyNumberFormat="1" applyFont="1" applyFill="1" applyBorder="1" applyAlignment="1">
      <alignment vertical="center" wrapText="1"/>
    </xf>
    <xf numFmtId="17" fontId="2" fillId="2" borderId="2" xfId="0" applyNumberFormat="1" applyFont="1" applyFill="1" applyBorder="1" applyAlignment="1">
      <alignment vertical="center" wrapText="1"/>
    </xf>
    <xf numFmtId="15" fontId="0" fillId="2" borderId="2" xfId="1" applyNumberFormat="1" applyFont="1" applyFill="1" applyBorder="1" applyAlignment="1">
      <alignment vertical="center" wrapText="1"/>
    </xf>
    <xf numFmtId="15" fontId="2" fillId="2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.wikipedia.org/wiki/Minister_of_Finance_(Nepal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6E34-EE46-40DD-A060-9690B147BCF7}">
  <dimension ref="A1:F31"/>
  <sheetViews>
    <sheetView topLeftCell="A11" zoomScaleNormal="100" workbookViewId="0">
      <selection activeCell="D20" sqref="D20:D31"/>
    </sheetView>
  </sheetViews>
  <sheetFormatPr defaultRowHeight="14.4" x14ac:dyDescent="0.3"/>
  <cols>
    <col min="1" max="1" width="9" bestFit="1" customWidth="1"/>
    <col min="2" max="2" width="22.33203125" bestFit="1" customWidth="1"/>
    <col min="3" max="3" width="26" customWidth="1"/>
    <col min="4" max="4" width="10.77734375" bestFit="1" customWidth="1"/>
    <col min="5" max="5" width="13.6640625" bestFit="1" customWidth="1"/>
  </cols>
  <sheetData>
    <row r="1" spans="1:6" ht="26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23</v>
      </c>
    </row>
    <row r="2" spans="1:6" ht="28.8" x14ac:dyDescent="0.3">
      <c r="A2" s="3">
        <v>1</v>
      </c>
      <c r="B2" s="3" t="s">
        <v>16</v>
      </c>
      <c r="C2" s="4" t="s">
        <v>5</v>
      </c>
      <c r="D2" s="5">
        <v>39678</v>
      </c>
      <c r="E2" s="5">
        <v>39958</v>
      </c>
      <c r="F2">
        <f>E2-D2</f>
        <v>280</v>
      </c>
    </row>
    <row r="3" spans="1:6" ht="28.8" x14ac:dyDescent="0.3">
      <c r="A3" s="3">
        <v>2</v>
      </c>
      <c r="B3" s="3" t="s">
        <v>18</v>
      </c>
      <c r="C3" s="4" t="s">
        <v>6</v>
      </c>
      <c r="D3" s="5">
        <v>39958</v>
      </c>
      <c r="E3" s="5">
        <v>40580</v>
      </c>
      <c r="F3">
        <f t="shared" ref="F3:F17" si="0">E3-D3</f>
        <v>622</v>
      </c>
    </row>
    <row r="4" spans="1:6" ht="28.8" x14ac:dyDescent="0.3">
      <c r="A4" s="3">
        <v>3</v>
      </c>
      <c r="B4" s="3" t="s">
        <v>7</v>
      </c>
      <c r="C4" s="4" t="s">
        <v>6</v>
      </c>
      <c r="D4" s="5">
        <v>40580</v>
      </c>
      <c r="E4" s="5">
        <v>40790</v>
      </c>
      <c r="F4">
        <f t="shared" si="0"/>
        <v>210</v>
      </c>
    </row>
    <row r="5" spans="1:6" ht="28.8" x14ac:dyDescent="0.3">
      <c r="A5" s="3">
        <v>4</v>
      </c>
      <c r="B5" s="3" t="s">
        <v>17</v>
      </c>
      <c r="C5" s="4" t="s">
        <v>5</v>
      </c>
      <c r="D5" s="5">
        <v>40790</v>
      </c>
      <c r="E5" s="6">
        <v>41334</v>
      </c>
      <c r="F5">
        <f t="shared" si="0"/>
        <v>544</v>
      </c>
    </row>
    <row r="6" spans="1:6" ht="26.4" x14ac:dyDescent="0.3">
      <c r="A6" s="3">
        <v>5</v>
      </c>
      <c r="B6" s="3" t="s">
        <v>8</v>
      </c>
      <c r="C6" s="4" t="s">
        <v>9</v>
      </c>
      <c r="D6" s="5">
        <v>41351</v>
      </c>
      <c r="E6" s="5">
        <v>41681</v>
      </c>
      <c r="F6">
        <f t="shared" si="0"/>
        <v>330</v>
      </c>
    </row>
    <row r="7" spans="1:6" x14ac:dyDescent="0.3">
      <c r="A7" s="3">
        <v>6</v>
      </c>
      <c r="B7" s="3" t="s">
        <v>19</v>
      </c>
      <c r="C7" s="4" t="s">
        <v>10</v>
      </c>
      <c r="D7" s="5">
        <v>41695</v>
      </c>
      <c r="E7" s="5">
        <v>42289</v>
      </c>
      <c r="F7">
        <f t="shared" si="0"/>
        <v>594</v>
      </c>
    </row>
    <row r="8" spans="1:6" ht="28.8" x14ac:dyDescent="0.3">
      <c r="A8" s="3">
        <v>7</v>
      </c>
      <c r="B8" s="3" t="s">
        <v>11</v>
      </c>
      <c r="C8" s="4" t="s">
        <v>6</v>
      </c>
      <c r="D8" s="5">
        <v>42313</v>
      </c>
      <c r="E8" s="5">
        <v>42583</v>
      </c>
      <c r="F8">
        <f t="shared" si="0"/>
        <v>270</v>
      </c>
    </row>
    <row r="9" spans="1:6" ht="28.8" x14ac:dyDescent="0.3">
      <c r="A9" s="3">
        <v>8</v>
      </c>
      <c r="B9" s="3" t="s">
        <v>20</v>
      </c>
      <c r="C9" s="4" t="s">
        <v>5</v>
      </c>
      <c r="D9" s="5">
        <v>42586</v>
      </c>
      <c r="E9" s="5">
        <v>42886</v>
      </c>
      <c r="F9">
        <f t="shared" si="0"/>
        <v>300</v>
      </c>
    </row>
    <row r="10" spans="1:6" ht="26.4" x14ac:dyDescent="0.3">
      <c r="A10" s="3">
        <v>9</v>
      </c>
      <c r="B10" s="3" t="s">
        <v>21</v>
      </c>
      <c r="C10" s="4" t="s">
        <v>10</v>
      </c>
      <c r="D10" s="5">
        <v>42893</v>
      </c>
      <c r="E10" s="5">
        <v>43146</v>
      </c>
      <c r="F10">
        <f t="shared" si="0"/>
        <v>253</v>
      </c>
    </row>
    <row r="11" spans="1:6" ht="28.8" x14ac:dyDescent="0.3">
      <c r="A11" s="3">
        <v>10</v>
      </c>
      <c r="B11" s="3" t="s">
        <v>22</v>
      </c>
      <c r="C11" s="4" t="s">
        <v>12</v>
      </c>
      <c r="D11" s="5">
        <v>43175</v>
      </c>
      <c r="E11" s="7">
        <v>44078</v>
      </c>
      <c r="F11">
        <f t="shared" si="0"/>
        <v>903</v>
      </c>
    </row>
    <row r="12" spans="1:6" ht="26.4" x14ac:dyDescent="0.3">
      <c r="A12" s="3">
        <v>11</v>
      </c>
      <c r="B12" s="3" t="s">
        <v>11</v>
      </c>
      <c r="C12" s="4" t="s">
        <v>13</v>
      </c>
      <c r="D12" s="5">
        <v>44118</v>
      </c>
      <c r="E12" s="5">
        <v>44390</v>
      </c>
      <c r="F12">
        <f t="shared" si="0"/>
        <v>272</v>
      </c>
    </row>
    <row r="13" spans="1:6" x14ac:dyDescent="0.3">
      <c r="A13" s="3">
        <v>12</v>
      </c>
      <c r="B13" s="3" t="s">
        <v>14</v>
      </c>
      <c r="C13" s="4" t="s">
        <v>15</v>
      </c>
      <c r="D13" s="5">
        <v>44390</v>
      </c>
      <c r="E13" s="5">
        <v>44921</v>
      </c>
      <c r="F13">
        <f t="shared" si="0"/>
        <v>531</v>
      </c>
    </row>
    <row r="14" spans="1:6" ht="26.4" x14ac:dyDescent="0.3">
      <c r="A14" s="3">
        <v>13</v>
      </c>
      <c r="B14" s="3" t="s">
        <v>11</v>
      </c>
      <c r="C14" s="4" t="s">
        <v>13</v>
      </c>
      <c r="D14" s="5">
        <v>44921</v>
      </c>
      <c r="E14" s="5">
        <v>44984</v>
      </c>
      <c r="F14">
        <f t="shared" si="0"/>
        <v>63</v>
      </c>
    </row>
    <row r="15" spans="1:6" ht="26.4" x14ac:dyDescent="0.3">
      <c r="A15" s="3">
        <v>14</v>
      </c>
      <c r="B15" s="3" t="s">
        <v>24</v>
      </c>
      <c r="C15" s="4" t="s">
        <v>10</v>
      </c>
      <c r="D15" s="5">
        <v>45016</v>
      </c>
      <c r="E15" s="5">
        <v>45355</v>
      </c>
      <c r="F15">
        <f t="shared" si="0"/>
        <v>339</v>
      </c>
    </row>
    <row r="16" spans="1:6" ht="28.8" x14ac:dyDescent="0.3">
      <c r="A16" s="3">
        <v>15</v>
      </c>
      <c r="B16" s="3" t="s">
        <v>17</v>
      </c>
      <c r="C16" s="4" t="s">
        <v>5</v>
      </c>
      <c r="D16" s="5">
        <v>45357</v>
      </c>
      <c r="E16" s="5">
        <v>45488</v>
      </c>
      <c r="F16">
        <f t="shared" si="0"/>
        <v>131</v>
      </c>
    </row>
    <row r="17" spans="1:6" ht="26.4" x14ac:dyDescent="0.3">
      <c r="A17" s="3">
        <v>16</v>
      </c>
      <c r="B17" s="3" t="s">
        <v>11</v>
      </c>
      <c r="C17" s="4" t="s">
        <v>13</v>
      </c>
      <c r="D17" s="5">
        <v>45488</v>
      </c>
      <c r="E17" s="8" t="str">
        <f ca="1">TEXT(NOW(), "dd-mmm-yy")</f>
        <v>27-Aug-25</v>
      </c>
      <c r="F17">
        <f t="shared" ca="1" si="0"/>
        <v>408</v>
      </c>
    </row>
    <row r="20" spans="1:6" x14ac:dyDescent="0.3">
      <c r="B20" t="str" cm="1">
        <f t="array" ref="B20:B31">_xlfn.UNIQUE(B2:B17)</f>
        <v>Baburam Bhattarai</v>
      </c>
      <c r="C20">
        <f>SUMIF(B2:B17,B20,F2:F17)</f>
        <v>280</v>
      </c>
      <c r="D20">
        <f>COUNTIF(B2:B17,B20)</f>
        <v>1</v>
      </c>
    </row>
    <row r="21" spans="1:6" x14ac:dyDescent="0.3">
      <c r="B21" t="str">
        <v>Surendra Pandey</v>
      </c>
      <c r="C21">
        <f t="shared" ref="C21:C31" si="1">SUMIF(B3:B18,B21,F3:F18)</f>
        <v>622</v>
      </c>
      <c r="D21">
        <f t="shared" ref="D21:D31" si="2">COUNTIF(B3:B18,B21)</f>
        <v>1</v>
      </c>
    </row>
    <row r="22" spans="1:6" x14ac:dyDescent="0.3">
      <c r="B22" t="str">
        <v>Bharat Mohan Adhikari</v>
      </c>
      <c r="C22">
        <f t="shared" si="1"/>
        <v>210</v>
      </c>
      <c r="D22">
        <f t="shared" si="2"/>
        <v>1</v>
      </c>
    </row>
    <row r="23" spans="1:6" x14ac:dyDescent="0.3">
      <c r="B23" t="str">
        <v>Barsaman Pun</v>
      </c>
      <c r="C23">
        <f t="shared" si="1"/>
        <v>675</v>
      </c>
      <c r="D23">
        <f t="shared" si="2"/>
        <v>2</v>
      </c>
    </row>
    <row r="24" spans="1:6" x14ac:dyDescent="0.3">
      <c r="B24" t="str">
        <v>Shanker Prasad Koirala</v>
      </c>
      <c r="C24">
        <f t="shared" si="1"/>
        <v>330</v>
      </c>
      <c r="D24">
        <f t="shared" si="2"/>
        <v>1</v>
      </c>
    </row>
    <row r="25" spans="1:6" x14ac:dyDescent="0.3">
      <c r="B25" t="str">
        <v>Ram Saran Mahat</v>
      </c>
      <c r="C25">
        <f t="shared" si="1"/>
        <v>594</v>
      </c>
      <c r="D25">
        <f t="shared" si="2"/>
        <v>1</v>
      </c>
    </row>
    <row r="26" spans="1:6" x14ac:dyDescent="0.3">
      <c r="B26" t="str">
        <v>Bishnu Prasad Paudel</v>
      </c>
      <c r="C26">
        <f t="shared" ca="1" si="1"/>
        <v>1013</v>
      </c>
      <c r="D26">
        <f t="shared" si="2"/>
        <v>4</v>
      </c>
    </row>
    <row r="27" spans="1:6" x14ac:dyDescent="0.3">
      <c r="B27" t="str">
        <v>Krishna Bahadur Mahara</v>
      </c>
      <c r="C27">
        <f t="shared" si="1"/>
        <v>300</v>
      </c>
      <c r="D27">
        <f t="shared" si="2"/>
        <v>1</v>
      </c>
    </row>
    <row r="28" spans="1:6" x14ac:dyDescent="0.3">
      <c r="B28" t="str">
        <v>Gyanendra Bahadur Karki</v>
      </c>
      <c r="C28">
        <f t="shared" si="1"/>
        <v>253</v>
      </c>
      <c r="D28">
        <f t="shared" si="2"/>
        <v>1</v>
      </c>
    </row>
    <row r="29" spans="1:6" x14ac:dyDescent="0.3">
      <c r="B29" t="str">
        <v>Yuba Raj Khatiwada</v>
      </c>
      <c r="C29">
        <f t="shared" si="1"/>
        <v>903</v>
      </c>
      <c r="D29">
        <f t="shared" si="2"/>
        <v>1</v>
      </c>
    </row>
    <row r="30" spans="1:6" x14ac:dyDescent="0.3">
      <c r="B30" t="str">
        <v>Janardan Sharma</v>
      </c>
      <c r="C30">
        <f t="shared" si="1"/>
        <v>531</v>
      </c>
      <c r="D30">
        <f t="shared" si="2"/>
        <v>1</v>
      </c>
    </row>
    <row r="31" spans="1:6" x14ac:dyDescent="0.3">
      <c r="B31" t="str">
        <v>Dr. Prakash Sharan Mahat</v>
      </c>
      <c r="C31">
        <f t="shared" si="1"/>
        <v>339</v>
      </c>
      <c r="D31">
        <f t="shared" si="2"/>
        <v>1</v>
      </c>
    </row>
  </sheetData>
  <hyperlinks>
    <hyperlink ref="E11" r:id="rId1" location="cite_note-13" display="https://en.wikipedia.org/wiki/Minister_of_Finance_(Nepal) - cite_note-13" xr:uid="{4EC71165-2779-444D-972A-C5427E43BDCF}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0BEC-AF4D-466C-9011-1C0BEBE4DA60}">
  <dimension ref="A1:I14"/>
  <sheetViews>
    <sheetView tabSelected="1" zoomScale="90" workbookViewId="0">
      <selection activeCell="A2" sqref="A2"/>
    </sheetView>
  </sheetViews>
  <sheetFormatPr defaultRowHeight="14.4" x14ac:dyDescent="0.3"/>
  <cols>
    <col min="1" max="1" width="3.33203125" bestFit="1" customWidth="1"/>
    <col min="2" max="2" width="22.33203125" bestFit="1" customWidth="1"/>
    <col min="3" max="3" width="11.21875" customWidth="1"/>
    <col min="4" max="4" width="22.5546875" bestFit="1" customWidth="1"/>
    <col min="5" max="5" width="13.88671875" bestFit="1" customWidth="1"/>
    <col min="6" max="6" width="12.77734375" bestFit="1" customWidth="1"/>
    <col min="7" max="7" width="9.44140625" bestFit="1" customWidth="1"/>
    <col min="8" max="8" width="13.44140625" bestFit="1" customWidth="1"/>
  </cols>
  <sheetData>
    <row r="1" spans="1:9" ht="43.2" x14ac:dyDescent="0.3">
      <c r="B1" s="9" t="s">
        <v>25</v>
      </c>
      <c r="C1" s="9" t="s">
        <v>29</v>
      </c>
      <c r="D1" s="9" t="s">
        <v>26</v>
      </c>
      <c r="E1" s="9" t="s">
        <v>27</v>
      </c>
      <c r="F1" s="9" t="s">
        <v>28</v>
      </c>
      <c r="G1" s="9" t="s">
        <v>30</v>
      </c>
      <c r="H1" s="9" t="s">
        <v>31</v>
      </c>
      <c r="I1" s="9" t="s">
        <v>33</v>
      </c>
    </row>
    <row r="2" spans="1:9" ht="57.6" x14ac:dyDescent="0.3">
      <c r="B2" s="9"/>
      <c r="C2" s="9"/>
      <c r="D2" s="9"/>
      <c r="E2" s="9"/>
      <c r="F2" s="9" t="s">
        <v>32</v>
      </c>
      <c r="G2" s="9"/>
      <c r="H2" s="10" t="s">
        <v>34</v>
      </c>
      <c r="I2" s="10"/>
    </row>
    <row r="3" spans="1:9" x14ac:dyDescent="0.3">
      <c r="A3">
        <v>1</v>
      </c>
      <c r="B3" t="s">
        <v>16</v>
      </c>
      <c r="H3">
        <v>280</v>
      </c>
      <c r="I3">
        <v>1</v>
      </c>
    </row>
    <row r="4" spans="1:9" x14ac:dyDescent="0.3">
      <c r="A4">
        <v>2</v>
      </c>
      <c r="B4" t="s">
        <v>18</v>
      </c>
      <c r="H4">
        <v>622</v>
      </c>
      <c r="I4">
        <v>1</v>
      </c>
    </row>
    <row r="5" spans="1:9" x14ac:dyDescent="0.3">
      <c r="A5">
        <v>3</v>
      </c>
      <c r="B5" t="s">
        <v>7</v>
      </c>
      <c r="H5">
        <v>210</v>
      </c>
      <c r="I5">
        <v>1</v>
      </c>
    </row>
    <row r="6" spans="1:9" x14ac:dyDescent="0.3">
      <c r="A6">
        <v>4</v>
      </c>
      <c r="B6" t="s">
        <v>17</v>
      </c>
      <c r="H6">
        <v>675</v>
      </c>
      <c r="I6">
        <v>2</v>
      </c>
    </row>
    <row r="7" spans="1:9" x14ac:dyDescent="0.3">
      <c r="A7">
        <v>5</v>
      </c>
      <c r="B7" t="s">
        <v>8</v>
      </c>
      <c r="H7">
        <v>330</v>
      </c>
      <c r="I7">
        <v>1</v>
      </c>
    </row>
    <row r="8" spans="1:9" x14ac:dyDescent="0.3">
      <c r="A8">
        <v>6</v>
      </c>
      <c r="B8" t="s">
        <v>19</v>
      </c>
      <c r="H8">
        <v>594</v>
      </c>
      <c r="I8">
        <v>1</v>
      </c>
    </row>
    <row r="9" spans="1:9" x14ac:dyDescent="0.3">
      <c r="A9">
        <v>7</v>
      </c>
      <c r="B9" t="s">
        <v>11</v>
      </c>
      <c r="H9">
        <v>1013</v>
      </c>
      <c r="I9">
        <v>4</v>
      </c>
    </row>
    <row r="10" spans="1:9" x14ac:dyDescent="0.3">
      <c r="A10">
        <v>8</v>
      </c>
      <c r="B10" t="s">
        <v>20</v>
      </c>
      <c r="H10">
        <v>300</v>
      </c>
      <c r="I10">
        <v>1</v>
      </c>
    </row>
    <row r="11" spans="1:9" x14ac:dyDescent="0.3">
      <c r="A11">
        <v>9</v>
      </c>
      <c r="B11" t="s">
        <v>21</v>
      </c>
      <c r="H11">
        <v>253</v>
      </c>
      <c r="I11">
        <v>1</v>
      </c>
    </row>
    <row r="12" spans="1:9" x14ac:dyDescent="0.3">
      <c r="A12">
        <v>10</v>
      </c>
      <c r="B12" t="s">
        <v>22</v>
      </c>
      <c r="H12">
        <v>903</v>
      </c>
      <c r="I12">
        <v>1</v>
      </c>
    </row>
    <row r="13" spans="1:9" x14ac:dyDescent="0.3">
      <c r="A13">
        <v>11</v>
      </c>
      <c r="B13" t="s">
        <v>14</v>
      </c>
      <c r="H13">
        <v>531</v>
      </c>
      <c r="I13">
        <v>1</v>
      </c>
    </row>
    <row r="14" spans="1:9" x14ac:dyDescent="0.3">
      <c r="A14">
        <v>12</v>
      </c>
      <c r="B14" t="s">
        <v>24</v>
      </c>
      <c r="H14">
        <v>339</v>
      </c>
      <c r="I14">
        <v>1</v>
      </c>
    </row>
  </sheetData>
  <mergeCells count="1"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Silwal</dc:creator>
  <cp:lastModifiedBy>Abhishek Silwal</cp:lastModifiedBy>
  <dcterms:created xsi:type="dcterms:W3CDTF">2025-06-27T05:57:48Z</dcterms:created>
  <dcterms:modified xsi:type="dcterms:W3CDTF">2025-08-27T04:19:08Z</dcterms:modified>
</cp:coreProperties>
</file>